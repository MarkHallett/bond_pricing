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hallett/notgoogledrive/python/pycharm/pythonProject/knowledge/bond_prices/"/>
    </mc:Choice>
  </mc:AlternateContent>
  <xr:revisionPtr revIDLastSave="0" documentId="8_{62EDBE4A-DD0D-EF43-AE76-FDC7C0182CB6}" xr6:coauthVersionLast="47" xr6:coauthVersionMax="47" xr10:uidLastSave="{00000000-0000-0000-0000-000000000000}"/>
  <bookViews>
    <workbookView xWindow="10640" yWindow="500" windowWidth="33600" windowHeight="19700" activeTab="1" xr2:uid="{A69A37B1-4228-4484-B194-B898DDB73F90}"/>
  </bookViews>
  <sheets>
    <sheet name="Formulae" sheetId="2" r:id="rId1"/>
    <sheet name="Bond Price" sheetId="1" r:id="rId2"/>
  </sheets>
  <definedNames>
    <definedName name="Epsilon">'Bond Price'!$U$33</definedName>
    <definedName name="IterationCount">'Bond Price'!$P$31</definedName>
    <definedName name="IterationResults">'Bond Price'!$P$37:$Z$37</definedName>
    <definedName name="IterationResults1">'Bond Price'!$P$37</definedName>
    <definedName name="ShowIterations">'Bond Price'!$P$44</definedName>
    <definedName name="Tolerance">'Bond Price'!$U$30</definedName>
    <definedName name="X0">'Bond Price'!$R$33</definedName>
    <definedName name="Xn">'Bond Price'!$Q$33</definedName>
    <definedName name="XnPlus1">'Bond Price'!$P$33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1" l="1"/>
  <c r="C32" i="1"/>
  <c r="G29" i="1"/>
  <c r="G30" i="1"/>
  <c r="C23" i="1"/>
  <c r="C24" i="1"/>
  <c r="V14" i="2"/>
  <c r="V12" i="2"/>
  <c r="T15" i="2"/>
  <c r="R15" i="2"/>
  <c r="I14" i="2"/>
  <c r="I12" i="2"/>
  <c r="G15" i="2"/>
  <c r="E15" i="2"/>
  <c r="T25" i="2"/>
  <c r="W30" i="2" s="1"/>
  <c r="T30" i="2" s="1"/>
  <c r="I21" i="2"/>
  <c r="G21" i="2"/>
  <c r="E21" i="2"/>
  <c r="I2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D11" i="1"/>
  <c r="C14" i="1"/>
  <c r="R21" i="2" l="1"/>
  <c r="R22" i="2" s="1"/>
  <c r="T21" i="2"/>
  <c r="T22" i="2" s="1"/>
  <c r="U30" i="2"/>
  <c r="I22" i="2"/>
  <c r="G22" i="2"/>
  <c r="E22" i="2"/>
  <c r="V21" i="2"/>
  <c r="V22" i="2" s="1"/>
  <c r="I29" i="1"/>
  <c r="C30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8" i="1"/>
  <c r="H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F15" i="1"/>
  <c r="H15" i="1" s="1"/>
  <c r="F16" i="1"/>
  <c r="H16" i="1" s="1"/>
  <c r="F17" i="1"/>
  <c r="H17" i="1" s="1"/>
  <c r="F18" i="1"/>
  <c r="H18" i="1" s="1"/>
  <c r="F19" i="1"/>
  <c r="H19" i="1" s="1"/>
  <c r="H6" i="1"/>
  <c r="C16" i="1" s="1"/>
  <c r="C17" i="1" s="1"/>
  <c r="F7" i="1"/>
  <c r="H7" i="1" s="1"/>
  <c r="E7" i="1"/>
  <c r="Q24" i="2" l="1"/>
  <c r="E24" i="2"/>
  <c r="E25" i="2" s="1"/>
  <c r="E8" i="1"/>
  <c r="C15" i="1"/>
  <c r="C18" i="1" s="1"/>
  <c r="Q25" i="2" l="1"/>
  <c r="T29" i="2" s="1"/>
  <c r="E9" i="1"/>
  <c r="U29" i="2" l="1"/>
  <c r="T31" i="2"/>
  <c r="U31" i="2" s="1"/>
  <c r="E10" i="1"/>
  <c r="E11" i="1" l="1"/>
  <c r="E12" i="1" l="1"/>
  <c r="E13" i="1" l="1"/>
  <c r="E14" i="1" l="1"/>
  <c r="E15" i="1" l="1"/>
  <c r="E16" i="1" l="1"/>
  <c r="E17" i="1" l="1"/>
  <c r="E18" i="1" l="1"/>
  <c r="E19" i="1" l="1"/>
  <c r="E20" i="1" l="1"/>
  <c r="E21" i="1" l="1"/>
  <c r="E22" i="1" l="1"/>
  <c r="E23" i="1" l="1"/>
  <c r="E24" i="1" l="1"/>
  <c r="E25" i="1" l="1"/>
  <c r="L6" i="1"/>
  <c r="M6" i="1" s="1"/>
  <c r="L14" i="1"/>
  <c r="M14" i="1" s="1"/>
  <c r="J13" i="1"/>
  <c r="K13" i="1" s="1"/>
  <c r="J9" i="1"/>
  <c r="K9" i="1" s="1"/>
  <c r="J10" i="1"/>
  <c r="K10" i="1" s="1"/>
  <c r="J7" i="1"/>
  <c r="K7" i="1" s="1"/>
  <c r="J11" i="1"/>
  <c r="K11" i="1" s="1"/>
  <c r="L20" i="1"/>
  <c r="M20" i="1" s="1"/>
  <c r="L24" i="1"/>
  <c r="M24" i="1" s="1"/>
  <c r="L16" i="1"/>
  <c r="M16" i="1" s="1"/>
  <c r="J18" i="1"/>
  <c r="K18" i="1" s="1"/>
  <c r="J14" i="1"/>
  <c r="K14" i="1" s="1"/>
  <c r="L10" i="1"/>
  <c r="M10" i="1" s="1"/>
  <c r="J19" i="1"/>
  <c r="K19" i="1" s="1"/>
  <c r="L15" i="1"/>
  <c r="M15" i="1" s="1"/>
  <c r="L25" i="1"/>
  <c r="M25" i="1" s="1"/>
  <c r="J16" i="1"/>
  <c r="K16" i="1" s="1"/>
  <c r="L8" i="1"/>
  <c r="M8" i="1" s="1"/>
  <c r="L9" i="1"/>
  <c r="M9" i="1" s="1"/>
  <c r="L23" i="1"/>
  <c r="M23" i="1" s="1"/>
  <c r="L19" i="1"/>
  <c r="M19" i="1" s="1"/>
  <c r="J15" i="1"/>
  <c r="K15" i="1" s="1"/>
  <c r="J20" i="1"/>
  <c r="K20" i="1" s="1"/>
  <c r="J25" i="1"/>
  <c r="K25" i="1" s="1"/>
  <c r="J24" i="1"/>
  <c r="K24" i="1" s="1"/>
  <c r="J17" i="1"/>
  <c r="K17" i="1" s="1"/>
  <c r="J21" i="1"/>
  <c r="K21" i="1" s="1"/>
  <c r="J23" i="1"/>
  <c r="K23" i="1" s="1"/>
  <c r="J8" i="1"/>
  <c r="K8" i="1" s="1"/>
  <c r="L12" i="1"/>
  <c r="M12" i="1" s="1"/>
  <c r="L11" i="1"/>
  <c r="M11" i="1" s="1"/>
  <c r="L7" i="1"/>
  <c r="M7" i="1" s="1"/>
  <c r="L21" i="1"/>
  <c r="M21" i="1" s="1"/>
  <c r="J22" i="1"/>
  <c r="K22" i="1" s="1"/>
  <c r="L18" i="1"/>
  <c r="M18" i="1" s="1"/>
  <c r="L22" i="1"/>
  <c r="M22" i="1" s="1"/>
  <c r="L13" i="1"/>
  <c r="M13" i="1" s="1"/>
  <c r="L17" i="1"/>
  <c r="M17" i="1" s="1"/>
  <c r="J12" i="1"/>
  <c r="K12" i="1" s="1"/>
  <c r="J6" i="1"/>
  <c r="K6" i="1" s="1"/>
  <c r="K29" i="1" l="1"/>
  <c r="M29" i="1"/>
  <c r="S33" i="1" l="1"/>
  <c r="G31" i="1"/>
  <c r="T33" i="1"/>
  <c r="P33" i="1" s="1"/>
  <c r="M33" i="1"/>
  <c r="U33" i="1" l="1"/>
  <c r="R33" i="1"/>
  <c r="C31" i="1"/>
  <c r="C33" i="1"/>
</calcChain>
</file>

<file path=xl/sharedStrings.xml><?xml version="1.0" encoding="utf-8"?>
<sst xmlns="http://schemas.openxmlformats.org/spreadsheetml/2006/main" count="126" uniqueCount="106">
  <si>
    <t>Par</t>
  </si>
  <si>
    <t>Clean Price</t>
  </si>
  <si>
    <t>Coupon</t>
  </si>
  <si>
    <t>Maturity</t>
  </si>
  <si>
    <t>PV</t>
  </si>
  <si>
    <t>Face</t>
  </si>
  <si>
    <t>DiscFact</t>
  </si>
  <si>
    <t>Frequency</t>
  </si>
  <si>
    <t>Total</t>
  </si>
  <si>
    <t>Dirty Price</t>
  </si>
  <si>
    <t>Accrued</t>
  </si>
  <si>
    <t>Accrued Days</t>
  </si>
  <si>
    <t>Remaining</t>
  </si>
  <si>
    <t>Bond Details</t>
  </si>
  <si>
    <t>Yield to Maturity (YTM)</t>
  </si>
  <si>
    <t>Bond Cash Flows</t>
  </si>
  <si>
    <t>Principal</t>
  </si>
  <si>
    <t>Start</t>
  </si>
  <si>
    <t>End</t>
  </si>
  <si>
    <t>Days</t>
  </si>
  <si>
    <t>(Dirty)</t>
  </si>
  <si>
    <t>Epsilon</t>
  </si>
  <si>
    <t>Iteration Results</t>
  </si>
  <si>
    <t>Solve for Yield to Maturity</t>
  </si>
  <si>
    <t>Shift Size</t>
  </si>
  <si>
    <t>Shifted DF</t>
  </si>
  <si>
    <t>Shifted PV</t>
  </si>
  <si>
    <t>Show Iterations</t>
  </si>
  <si>
    <t>Tolerance</t>
  </si>
  <si>
    <t>Iteration: 3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</si>
  <si>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</si>
  <si>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</si>
  <si>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</si>
  <si>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</si>
  <si>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</si>
  <si>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</si>
  <si>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</si>
  <si>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</si>
  <si>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</si>
  <si>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</si>
  <si>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10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</si>
  <si>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</si>
  <si>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</si>
  <si>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 xml:space="preserve"> )</t>
    </r>
  </si>
  <si>
    <r>
      <t>f'( 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 xml:space="preserve"> )</t>
    </r>
  </si>
  <si>
    <t>Dirty Price Target</t>
  </si>
  <si>
    <t>Bond Price</t>
  </si>
  <si>
    <t>Total PV</t>
  </si>
  <si>
    <t>Shifted Total PV</t>
  </si>
  <si>
    <t>Fair guess would be to use the coupon for bonds trading near par, although sometimes coupons are zero and often bonds trade far from par.</t>
  </si>
  <si>
    <t xml:space="preserve">Therefore, use the below formula. For Intuition consider that each year we earn interest plus we gain/lose on bond price, which we accrue </t>
  </si>
  <si>
    <t>on average between initial and maturity price.</t>
  </si>
  <si>
    <r>
      <rPr>
        <b/>
        <vertAlign val="superscript"/>
        <sz val="11"/>
        <color theme="1"/>
        <rFont val="Calibri"/>
        <family val="2"/>
        <scheme val="minor"/>
      </rPr>
      <t xml:space="preserve">1 </t>
    </r>
    <r>
      <rPr>
        <b/>
        <sz val="11"/>
        <color theme="1"/>
        <rFont val="Calibri"/>
        <family val="2"/>
        <scheme val="minor"/>
      </rPr>
      <t>UST Bond Price Quotes</t>
    </r>
  </si>
  <si>
    <t>Therefore, 139-01+ means the price is 139 1/32 + 1/64 = 139 3/64 = 139.046875</t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</si>
  <si>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Low Latency YTM Initial Guess Formula (Reduces Solver Iterations)</t>
    </r>
  </si>
  <si>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Price Results Exactly match Bloomberg</t>
    </r>
  </si>
  <si>
    <r>
      <t>Initial guess</t>
    </r>
    <r>
      <rPr>
        <vertAlign val="superscript"/>
        <sz val="11"/>
        <color theme="1"/>
        <rFont val="Calibri"/>
        <family val="2"/>
        <scheme val="minor"/>
      </rPr>
      <t>2</t>
    </r>
  </si>
  <si>
    <r>
      <t>Clean Price</t>
    </r>
    <r>
      <rPr>
        <vertAlign val="superscript"/>
        <sz val="11"/>
        <color theme="1"/>
        <rFont val="Calibri"/>
        <family val="2"/>
        <scheme val="minor"/>
      </rPr>
      <t>1</t>
    </r>
  </si>
  <si>
    <t>US Treasury Bond</t>
  </si>
  <si>
    <t>Coupon Fraction</t>
  </si>
  <si>
    <t>Settlement</t>
  </si>
  <si>
    <r>
      <t>Numerical DV01</t>
    </r>
    <r>
      <rPr>
        <b/>
        <vertAlign val="superscript"/>
        <sz val="11"/>
        <color theme="1"/>
        <rFont val="Calibri"/>
        <family val="2"/>
        <scheme val="minor"/>
      </rPr>
      <t>4</t>
    </r>
  </si>
  <si>
    <r>
      <rPr>
        <b/>
        <sz val="11"/>
        <color theme="1"/>
        <rFont val="Calibri"/>
        <family val="2"/>
        <scheme val="minor"/>
      </rPr>
      <t>Invoice</t>
    </r>
    <r>
      <rPr>
        <vertAlign val="superscript"/>
        <sz val="11"/>
        <color theme="1"/>
        <rFont val="Calibri"/>
        <family val="2"/>
        <scheme val="minor"/>
      </rPr>
      <t>3</t>
    </r>
  </si>
  <si>
    <t>Total Coupons</t>
  </si>
  <si>
    <t>Coupons Due</t>
  </si>
  <si>
    <t>US Treasuries quote a clean price in 1/32nds. Additionally a '+' or '-' is suffixed to indicate to add or subtract 1/64 to the price.</t>
  </si>
  <si>
    <r>
      <t>DV01</t>
    </r>
    <r>
      <rPr>
        <vertAlign val="superscript"/>
        <sz val="11"/>
        <color theme="1"/>
        <rFont val="Calibri"/>
        <family val="2"/>
        <scheme val="minor"/>
      </rPr>
      <t>4</t>
    </r>
  </si>
  <si>
    <t>Denomination</t>
  </si>
  <si>
    <t>Based on Denomination</t>
  </si>
  <si>
    <t>Coca-Cola 7.5% Maturing 27-Sep-2024</t>
  </si>
  <si>
    <t>Name</t>
  </si>
  <si>
    <t>Type</t>
  </si>
  <si>
    <t>Eurobond, Annual</t>
  </si>
  <si>
    <t>Discount Factor</t>
  </si>
  <si>
    <t>Present Value</t>
  </si>
  <si>
    <t>Net Present Value</t>
  </si>
  <si>
    <t>y = IRR or yield to maturity</t>
  </si>
  <si>
    <t>where</t>
  </si>
  <si>
    <t>Discount Factor Formula</t>
  </si>
  <si>
    <t>t = number of coupons per year</t>
  </si>
  <si>
    <t>Bond Pricing Formula</t>
  </si>
  <si>
    <t>C = Annual coupon value</t>
  </si>
  <si>
    <t>n = number of years to maturity</t>
  </si>
  <si>
    <t>a = fraction of current coupon remaining = ( No. of days to next coupon / No. days in current coupon period )</t>
  </si>
  <si>
    <t>m = number of whole coupons to maturity</t>
  </si>
  <si>
    <t>181 days</t>
  </si>
  <si>
    <t>133 days</t>
  </si>
  <si>
    <t>48 days</t>
  </si>
  <si>
    <t>Coupon Start</t>
  </si>
  <si>
    <t>Coupon End</t>
  </si>
  <si>
    <t>Bond Pricing Formula (When Mid Coupon)</t>
  </si>
  <si>
    <t>Bond IRR or YTM</t>
  </si>
  <si>
    <t>Bond Cash Flows &amp; Price (Mid Coupon Period)</t>
  </si>
  <si>
    <t>Bond Cash Flows &amp; Price</t>
  </si>
  <si>
    <t>Accrued Interest</t>
  </si>
  <si>
    <t>Fractional Coupon, a</t>
  </si>
  <si>
    <t>USD</t>
  </si>
  <si>
    <t>Accrual Fraction</t>
  </si>
  <si>
    <t>Accrued Fraction</t>
  </si>
  <si>
    <t>Bond Prices</t>
  </si>
  <si>
    <t>Current Coupon</t>
  </si>
  <si>
    <t>mth Full Coupon</t>
  </si>
  <si>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 xml:space="preserve"> DV01 risk is the change in investment PV for a downshift of 1 bps in yield to maturity</t>
    </r>
  </si>
  <si>
    <t>nth coupon</t>
  </si>
  <si>
    <t>Dirty Bond Price</t>
  </si>
  <si>
    <t>YTM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</si>
</sst>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%"/>
    <numFmt numFmtId="165" formatCode="#,##0.00000"/>
    <numFmt numFmtId="166" formatCode="0.00000%"/>
    <numFmt numFmtId="167" formatCode="0.000000%"/>
    <numFmt numFmtId="168" formatCode="d\-mmm\-yy"/>
    <numFmt numFmtId="169" formatCode="#,##0.000"/>
    <numFmt numFmtId="170" formatCode="#,##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14996795556505021"/>
      </top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indexed="64"/>
      </left>
      <right style="dotted">
        <color auto="1"/>
      </right>
      <top/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/>
    <xf numFmtId="167" fontId="1" fillId="0" borderId="0" xfId="0" applyNumberFormat="1" applyFont="1" applyAlignment="1">
      <alignment horizontal="center" vertical="center"/>
    </xf>
    <xf numFmtId="4" fontId="0" fillId="0" borderId="0" xfId="0" applyNumberFormat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4" xfId="0" quotePrefix="1" applyFont="1" applyBorder="1" applyAlignment="1">
      <alignment horizontal="center" vertical="center" wrapText="1"/>
    </xf>
    <xf numFmtId="166" fontId="0" fillId="3" borderId="3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4" fontId="0" fillId="3" borderId="3" xfId="0" applyNumberFormat="1" applyFill="1" applyBorder="1" applyAlignment="1">
      <alignment horizontal="center" vertical="center"/>
    </xf>
    <xf numFmtId="11" fontId="0" fillId="3" borderId="4" xfId="0" applyNumberFormat="1" applyFill="1" applyBorder="1" applyAlignment="1">
      <alignment horizontal="center" vertical="center"/>
    </xf>
    <xf numFmtId="11" fontId="0" fillId="0" borderId="1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7" fontId="0" fillId="3" borderId="9" xfId="0" applyNumberFormat="1" applyFill="1" applyBorder="1" applyAlignment="1">
      <alignment horizontal="center" vertical="center"/>
    </xf>
    <xf numFmtId="167" fontId="3" fillId="3" borderId="2" xfId="0" applyNumberFormat="1" applyFont="1" applyFill="1" applyBorder="1" applyAlignment="1">
      <alignment horizontal="center" vertical="center"/>
    </xf>
    <xf numFmtId="167" fontId="0" fillId="3" borderId="8" xfId="0" applyNumberFormat="1" applyFill="1" applyBorder="1" applyAlignment="1">
      <alignment horizontal="center" vertical="center"/>
    </xf>
    <xf numFmtId="167" fontId="0" fillId="3" borderId="10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/>
    </xf>
    <xf numFmtId="0" fontId="0" fillId="3" borderId="14" xfId="0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/>
    </xf>
    <xf numFmtId="3" fontId="0" fillId="3" borderId="15" xfId="0" applyNumberFormat="1" applyFill="1" applyBorder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165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3" fontId="0" fillId="3" borderId="21" xfId="0" applyNumberFormat="1" applyFill="1" applyBorder="1" applyAlignment="1">
      <alignment horizontal="center" vertical="center"/>
    </xf>
    <xf numFmtId="165" fontId="0" fillId="3" borderId="21" xfId="0" applyNumberFormat="1" applyFill="1" applyBorder="1" applyAlignment="1">
      <alignment horizontal="center" vertical="center"/>
    </xf>
    <xf numFmtId="165" fontId="0" fillId="3" borderId="22" xfId="0" applyNumberFormat="1" applyFill="1" applyBorder="1" applyAlignment="1">
      <alignment horizontal="center" vertical="center"/>
    </xf>
    <xf numFmtId="15" fontId="0" fillId="2" borderId="20" xfId="0" applyNumberFormat="1" applyFill="1" applyBorder="1" applyAlignment="1">
      <alignment horizontal="center" vertical="center"/>
    </xf>
    <xf numFmtId="3" fontId="0" fillId="2" borderId="21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4" fontId="0" fillId="3" borderId="1" xfId="0" applyNumberFormat="1" applyFill="1" applyBorder="1" applyAlignment="1">
      <alignment horizontal="center" vertical="center"/>
    </xf>
    <xf numFmtId="4" fontId="0" fillId="3" borderId="0" xfId="0" applyNumberFormat="1" applyFill="1" applyAlignment="1">
      <alignment horizontal="center"/>
    </xf>
    <xf numFmtId="4" fontId="0" fillId="3" borderId="15" xfId="0" applyNumberFormat="1" applyFill="1" applyBorder="1" applyAlignment="1">
      <alignment horizontal="center"/>
    </xf>
    <xf numFmtId="0" fontId="0" fillId="4" borderId="2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/>
    </xf>
    <xf numFmtId="165" fontId="0" fillId="4" borderId="25" xfId="0" applyNumberFormat="1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 vertical="center"/>
    </xf>
    <xf numFmtId="0" fontId="0" fillId="2" borderId="1" xfId="0" applyFill="1" applyBorder="1"/>
    <xf numFmtId="0" fontId="3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0" fillId="3" borderId="20" xfId="0" applyNumberFormat="1" applyFill="1" applyBorder="1" applyAlignment="1">
      <alignment horizontal="center" vertical="center"/>
    </xf>
    <xf numFmtId="164" fontId="0" fillId="3" borderId="21" xfId="0" applyNumberForma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4" fontId="0" fillId="2" borderId="20" xfId="0" applyNumberFormat="1" applyFill="1" applyBorder="1" applyAlignment="1">
      <alignment horizontal="center" vertical="center"/>
    </xf>
    <xf numFmtId="168" fontId="0" fillId="2" borderId="22" xfId="0" applyNumberFormat="1" applyFill="1" applyBorder="1" applyAlignment="1">
      <alignment horizontal="center" vertical="center"/>
    </xf>
    <xf numFmtId="4" fontId="8" fillId="0" borderId="0" xfId="0" applyNumberFormat="1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9" fillId="3" borderId="21" xfId="0" applyNumberFormat="1" applyFont="1" applyFill="1" applyBorder="1" applyAlignment="1">
      <alignment horizontal="center" vertical="center"/>
    </xf>
    <xf numFmtId="4" fontId="9" fillId="3" borderId="22" xfId="0" applyNumberFormat="1" applyFon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5" fontId="0" fillId="0" borderId="0" xfId="0" applyNumberFormat="1" applyAlignment="1">
      <alignment horizontal="left" vertical="center"/>
    </xf>
    <xf numFmtId="0" fontId="8" fillId="0" borderId="26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8" xfId="0" applyBorder="1"/>
    <xf numFmtId="0" fontId="0" fillId="0" borderId="30" xfId="0" applyBorder="1"/>
    <xf numFmtId="0" fontId="8" fillId="0" borderId="31" xfId="0" applyFont="1" applyBorder="1" applyAlignment="1">
      <alignment horizontal="center" vertical="center"/>
    </xf>
    <xf numFmtId="0" fontId="10" fillId="0" borderId="0" xfId="0" applyFont="1"/>
    <xf numFmtId="0" fontId="8" fillId="0" borderId="0" xfId="0" applyFont="1"/>
    <xf numFmtId="0" fontId="8" fillId="0" borderId="28" xfId="0" applyFont="1" applyBorder="1"/>
    <xf numFmtId="0" fontId="8" fillId="0" borderId="30" xfId="0" applyFont="1" applyBorder="1"/>
    <xf numFmtId="164" fontId="1" fillId="0" borderId="0" xfId="0" applyNumberFormat="1" applyFont="1" applyAlignment="1">
      <alignment horizontal="center" vertical="center"/>
    </xf>
    <xf numFmtId="10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0" fontId="8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0" fontId="8" fillId="0" borderId="26" xfId="0" applyFont="1" applyBorder="1" applyAlignment="1">
      <alignment horizontal="left" vertical="center"/>
    </xf>
    <xf numFmtId="0" fontId="0" fillId="0" borderId="21" xfId="0" applyBorder="1"/>
    <xf numFmtId="167" fontId="0" fillId="3" borderId="21" xfId="0" applyNumberFormat="1" applyFill="1" applyBorder="1" applyAlignment="1">
      <alignment horizontal="center" vertical="center"/>
    </xf>
    <xf numFmtId="164" fontId="0" fillId="2" borderId="22" xfId="0" applyNumberFormat="1" applyFill="1" applyBorder="1" applyAlignment="1">
      <alignment horizontal="center" vertical="center"/>
    </xf>
    <xf numFmtId="167" fontId="2" fillId="7" borderId="20" xfId="0" applyNumberFormat="1" applyFont="1" applyFill="1" applyBorder="1" applyAlignment="1">
      <alignment horizontal="center" vertical="center"/>
    </xf>
    <xf numFmtId="4" fontId="9" fillId="8" borderId="2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right" vertical="justify"/>
    </xf>
    <xf numFmtId="0" fontId="8" fillId="0" borderId="0" xfId="0" applyFont="1" applyAlignment="1">
      <alignment horizontal="left" vertical="justify"/>
    </xf>
    <xf numFmtId="0" fontId="0" fillId="0" borderId="0" xfId="0"/>
    <xf numFmtId="0" fontId="3" fillId="6" borderId="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22" xfId="0" applyFont="1" applyFill="1" applyBorder="1" applyAlignment="1">
      <alignment horizontal="center" vertical="center"/>
    </xf>
    <xf numFmtId="3" fontId="12" fillId="0" borderId="20" xfId="0" applyNumberFormat="1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00"/>
      <color rgb="FFFF9900"/>
      <color rgb="FFFF9933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28</xdr:row>
      <xdr:rowOff>76200</xdr:rowOff>
    </xdr:from>
    <xdr:ext cx="1342355" cy="349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28650" y="5248275"/>
              <a:ext cx="134235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𝐷𝐹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/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×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052990A-5FB1-48A7-AAA0-09BA87E59D14}"/>
                </a:ext>
              </a:extLst>
            </xdr:cNvPr>
            <xdr:cNvSpPr txBox="1"/>
          </xdr:nvSpPr>
          <xdr:spPr>
            <a:xfrm>
              <a:off x="628650" y="5248275"/>
              <a:ext cx="134235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𝐷𝐹(𝑖)=  1/〖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×𝑡)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22193</xdr:colOff>
      <xdr:row>34</xdr:row>
      <xdr:rowOff>179863</xdr:rowOff>
    </xdr:from>
    <xdr:ext cx="5273707" cy="429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241393" y="7285513"/>
              <a:ext cx="527370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𝑃𝑟𝑒𝑠𝑒𝑛𝑡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𝑉𝑎𝑙𝑢𝑒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1</m:t>
                          </m:r>
                        </m:sup>
                      </m:sSup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3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sz="1400">
                  <a:latin typeface="+mn-lt"/>
                </a:rPr>
                <a:t>+ ... + 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𝑃𝑟𝑖𝑛𝑐𝑖𝑝𝑎𝑙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+ 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𝑛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×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sup>
                      </m:sSup>
                    </m:den>
                  </m:f>
                </m:oMath>
              </a14:m>
              <a:endParaRPr lang="en-US" sz="1400">
                <a:latin typeface="+mn-lt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357509C-DE9F-409A-A7DB-2FFF8ECC7F49}"/>
                </a:ext>
              </a:extLst>
            </xdr:cNvPr>
            <xdr:cNvSpPr txBox="1"/>
          </xdr:nvSpPr>
          <xdr:spPr>
            <a:xfrm>
              <a:off x="1241393" y="7285513"/>
              <a:ext cx="527370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0" i="0">
                  <a:latin typeface="+mn-lt"/>
                </a:rPr>
                <a:t>𝑃𝑟𝑒𝑠𝑒𝑛𝑡 𝑉𝑎𝑙𝑢𝑒=  (𝐶∕𝑡)/〖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(1+𝑦∕𝑡)〗^</a:t>
              </a:r>
              <a:r>
                <a:rPr lang="en-US" sz="1400" b="0" i="0">
                  <a:latin typeface="+mn-lt"/>
                </a:rPr>
                <a:t>1 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(𝐶∕𝑡)/〖(1+𝑦∕𝑡)〗^2   +(𝐶∕𝑡)/〖(1+𝑦∕𝑡)〗^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en-US" sz="1400">
                  <a:latin typeface="+mn-lt"/>
                </a:rPr>
                <a:t>+ ... + 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𝑃𝑟𝑖𝑛𝑐𝑖𝑝𝑎𝑙 +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𝐶〗∕𝑡)/〖(1+𝑦∕𝑡)〗^(𝑛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×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</a:t>
              </a:r>
              <a:endParaRPr lang="en-US" sz="1400">
                <a:latin typeface="+mn-lt"/>
              </a:endParaRPr>
            </a:p>
          </xdr:txBody>
        </xdr:sp>
      </mc:Fallback>
    </mc:AlternateContent>
    <xdr:clientData/>
  </xdr:oneCellAnchor>
  <xdr:oneCellAnchor>
    <xdr:from>
      <xdr:col>12</xdr:col>
      <xdr:colOff>19050</xdr:colOff>
      <xdr:row>28</xdr:row>
      <xdr:rowOff>76200</xdr:rowOff>
    </xdr:from>
    <xdr:ext cx="1496885" cy="349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7534275" y="5248275"/>
              <a:ext cx="149688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𝐷𝐹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/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F7308F8-7DC6-4FDC-BE33-D108B769152E}"/>
                </a:ext>
              </a:extLst>
            </xdr:cNvPr>
            <xdr:cNvSpPr txBox="1"/>
          </xdr:nvSpPr>
          <xdr:spPr>
            <a:xfrm>
              <a:off x="7534275" y="5248275"/>
              <a:ext cx="149688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𝐷𝐹(𝑖)=  1/〖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US" sz="1100" b="0" i="0">
                  <a:latin typeface="Cambria Math" panose="02040503050406030204" pitchFamily="18" charset="0"/>
                </a:rPr>
                <a:t>𝑎+𝑖−1)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22193</xdr:colOff>
      <xdr:row>34</xdr:row>
      <xdr:rowOff>179863</xdr:rowOff>
    </xdr:from>
    <xdr:ext cx="5407057" cy="429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8147018" y="6494938"/>
              <a:ext cx="540705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𝑃𝑟𝑒𝑠𝑒𝑛𝑡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𝑉𝑎𝑙𝑢𝑒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𝑎</m:t>
                          </m:r>
                        </m:sup>
                      </m:sSup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+1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sz="1400">
                  <a:latin typeface="+mn-lt"/>
                </a:rPr>
                <a:t>+ ... + 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𝑃𝑟𝑖𝑛𝑐𝑖𝑝𝑎𝑙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+ 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𝑚</m:t>
                          </m:r>
                        </m:sup>
                      </m:sSup>
                    </m:den>
                  </m:f>
                </m:oMath>
              </a14:m>
              <a:endParaRPr lang="en-US" sz="1400">
                <a:latin typeface="+mn-lt"/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0C24C4D-E916-4C00-A263-01568467334F}"/>
                </a:ext>
              </a:extLst>
            </xdr:cNvPr>
            <xdr:cNvSpPr txBox="1"/>
          </xdr:nvSpPr>
          <xdr:spPr>
            <a:xfrm>
              <a:off x="8147018" y="6494938"/>
              <a:ext cx="540705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0" i="0">
                  <a:latin typeface="+mn-lt"/>
                </a:rPr>
                <a:t>𝑃𝑟𝑒𝑠𝑒𝑛𝑡 𝑉𝑎𝑙𝑢𝑒=  (𝐶∕𝑡)/〖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(1+𝑦∕𝑡)〗^</a:t>
              </a:r>
              <a:r>
                <a:rPr lang="en-US" sz="1400" b="0" i="0">
                  <a:latin typeface="Cambria Math" panose="02040503050406030204" pitchFamily="18" charset="0"/>
                </a:rPr>
                <a:t>𝑎</a:t>
              </a:r>
              <a:r>
                <a:rPr lang="en-US" sz="1400" b="0" i="0">
                  <a:latin typeface="+mn-lt"/>
                </a:rPr>
                <a:t> 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(𝐶∕𝑡)/〖(1+𝑦∕𝑡)〗^(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𝑎+1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 +(𝐶∕𝑡)/〖(1+𝑦∕𝑡)〗^(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𝑎+2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 </a:t>
              </a:r>
              <a:r>
                <a:rPr lang="en-US" sz="1400">
                  <a:latin typeface="+mn-lt"/>
                </a:rPr>
                <a:t>+ ... + 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𝑃𝑟𝑖𝑛𝑐𝑖𝑝𝑎𝑙 +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𝐶〗∕𝑡)/〖(1+𝑦∕𝑡)〗^(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𝑎+𝑚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</a:t>
              </a:r>
              <a:endParaRPr lang="en-US" sz="1400">
                <a:latin typeface="+mn-lt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4</xdr:row>
      <xdr:rowOff>9524</xdr:rowOff>
    </xdr:from>
    <xdr:to>
      <xdr:col>27</xdr:col>
      <xdr:colOff>57149</xdr:colOff>
      <xdr:row>25</xdr:row>
      <xdr:rowOff>44405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9" y="781049"/>
          <a:ext cx="9363075" cy="4111581"/>
        </a:xfrm>
        <a:prstGeom prst="rect">
          <a:avLst/>
        </a:prstGeom>
      </xdr:spPr>
    </xdr:pic>
    <xdr:clientData/>
  </xdr:twoCellAnchor>
  <xdr:twoCellAnchor editAs="oneCell">
    <xdr:from>
      <xdr:col>18</xdr:col>
      <xdr:colOff>457200</xdr:colOff>
      <xdr:row>38</xdr:row>
      <xdr:rowOff>38100</xdr:rowOff>
    </xdr:from>
    <xdr:to>
      <xdr:col>20</xdr:col>
      <xdr:colOff>428835</xdr:colOff>
      <xdr:row>40</xdr:row>
      <xdr:rowOff>161999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7505700"/>
          <a:ext cx="1505160" cy="533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38</xdr:row>
          <xdr:rowOff>0</xdr:rowOff>
        </xdr:from>
        <xdr:to>
          <xdr:col>17</xdr:col>
          <xdr:colOff>0</xdr:colOff>
          <xdr:row>41</xdr:row>
          <xdr:rowOff>12700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for YTM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400049</xdr:colOff>
      <xdr:row>43</xdr:row>
      <xdr:rowOff>157162</xdr:rowOff>
    </xdr:from>
    <xdr:ext cx="5334001" cy="4374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009649" y="8358187"/>
              <a:ext cx="5334001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𝐼𝑛𝑖𝑡𝑖𝑎𝑙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𝐺𝑢𝑒𝑠𝑠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𝐶𝑜𝑢𝑝𝑜𝑛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𝑃𝑎𝑟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𝐶𝑙𝑒𝑎𝑛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𝑃𝑟𝑖𝑐𝑒</m:t>
                                    </m:r>
                                  </m:num>
                                  <m:den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𝑇𝑖𝑚𝑒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𝑡𝑜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𝑀𝑎𝑡𝑢𝑟𝑖𝑡𝑦</m:t>
                                    </m:r>
                                  </m:den>
                                </m:f>
                              </m:e>
                            </m:d>
                          </m:e>
                        </m:d>
                      </m:num>
                      <m:den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𝑃𝑎𝑟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𝐶𝑙𝑒𝑎𝑛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𝑃𝑟𝑖𝑐𝑒</m:t>
                                </m:r>
                              </m:num>
                              <m:den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009649" y="8358187"/>
              <a:ext cx="5334001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𝐼𝑛𝑖𝑡𝑖𝑎𝑙 𝐺𝑢𝑒𝑠𝑠=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(𝐶𝑜𝑢𝑝𝑜𝑛+((𝑃𝑎𝑟 −𝐶𝑙𝑒𝑎𝑛 𝑃𝑟𝑖𝑐𝑒)/(𝑇𝑖𝑚𝑒 𝑡𝑜 𝑀𝑎𝑡𝑢𝑟𝑖𝑡𝑦)))∕((𝑃𝑎𝑟+𝐶𝑙𝑒𝑎𝑛 𝑃𝑟𝑖𝑐𝑒)/</a:t>
              </a:r>
              <a:r>
                <a:rPr lang="en-GB" sz="1100" b="0" i="0">
                  <a:latin typeface="Cambria Math" panose="02040503050406030204" pitchFamily="18" charset="0"/>
                </a:rPr>
                <a:t>2)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8B1E-E5F7-482B-872A-E5A74D610593}">
  <sheetPr codeName="Sheet2"/>
  <dimension ref="B2:X43"/>
  <sheetViews>
    <sheetView showGridLines="0" workbookViewId="0"/>
  </sheetViews>
  <sheetFormatPr baseColWidth="10" defaultColWidth="8.83203125" defaultRowHeight="15" x14ac:dyDescent="0.2"/>
  <cols>
    <col min="2" max="2" width="9.1640625"/>
    <col min="3" max="3" width="9.5" customWidth="1"/>
    <col min="4" max="4" width="9.6640625" bestFit="1" customWidth="1"/>
    <col min="5" max="5" width="11.33203125" customWidth="1"/>
    <col min="14" max="14" width="9.1640625"/>
    <col min="17" max="17" width="10.1640625" bestFit="1" customWidth="1"/>
    <col min="20" max="20" width="10.1640625" bestFit="1" customWidth="1"/>
  </cols>
  <sheetData>
    <row r="2" spans="2:24" x14ac:dyDescent="0.2">
      <c r="B2" s="124" t="s">
        <v>70</v>
      </c>
      <c r="C2" s="108"/>
      <c r="D2" t="s">
        <v>69</v>
      </c>
    </row>
    <row r="3" spans="2:24" x14ac:dyDescent="0.2">
      <c r="B3" s="124" t="s">
        <v>71</v>
      </c>
      <c r="C3" s="108"/>
      <c r="D3" t="s">
        <v>72</v>
      </c>
    </row>
    <row r="4" spans="2:24" x14ac:dyDescent="0.2">
      <c r="B4" s="124" t="s">
        <v>60</v>
      </c>
      <c r="C4" s="108"/>
      <c r="D4" s="82">
        <v>44831</v>
      </c>
    </row>
    <row r="5" spans="2:24" x14ac:dyDescent="0.2">
      <c r="B5" s="124" t="s">
        <v>67</v>
      </c>
      <c r="C5" s="108"/>
      <c r="D5" s="95">
        <v>1000</v>
      </c>
      <c r="E5" s="96" t="s">
        <v>96</v>
      </c>
    </row>
    <row r="6" spans="2:24" x14ac:dyDescent="0.2">
      <c r="B6" s="1" t="s">
        <v>2</v>
      </c>
      <c r="D6" s="94">
        <v>7.4999999999999997E-2</v>
      </c>
    </row>
    <row r="7" spans="2:24" x14ac:dyDescent="0.2">
      <c r="B7" s="1" t="s">
        <v>91</v>
      </c>
      <c r="D7" s="94">
        <v>0.08</v>
      </c>
      <c r="R7" s="85"/>
    </row>
    <row r="9" spans="2:24" x14ac:dyDescent="0.2">
      <c r="B9" s="61"/>
      <c r="C9" s="62"/>
      <c r="D9" s="62"/>
      <c r="E9" s="62"/>
      <c r="F9" s="62"/>
      <c r="G9" s="62"/>
      <c r="H9" s="62"/>
      <c r="I9" s="62"/>
      <c r="J9" s="62"/>
      <c r="K9" s="63"/>
      <c r="M9" s="61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2:24" x14ac:dyDescent="0.2">
      <c r="B10" s="64"/>
      <c r="C10" s="89" t="s">
        <v>93</v>
      </c>
      <c r="K10" s="65"/>
      <c r="M10" s="64"/>
      <c r="O10" s="89" t="s">
        <v>92</v>
      </c>
      <c r="X10" s="65"/>
    </row>
    <row r="11" spans="2:24" x14ac:dyDescent="0.2">
      <c r="B11" s="64"/>
      <c r="K11" s="65"/>
      <c r="M11" s="64"/>
      <c r="X11" s="65"/>
    </row>
    <row r="12" spans="2:24" x14ac:dyDescent="0.2">
      <c r="B12" s="64"/>
      <c r="I12" s="119">
        <f>$D$6*$D$5</f>
        <v>75</v>
      </c>
      <c r="K12" s="65"/>
      <c r="M12" s="64"/>
      <c r="O12" s="106" t="s">
        <v>88</v>
      </c>
      <c r="P12" s="90"/>
      <c r="Q12" s="90"/>
      <c r="R12" s="107" t="s">
        <v>89</v>
      </c>
      <c r="V12" s="109">
        <f>$D$6*$D$5</f>
        <v>75</v>
      </c>
      <c r="X12" s="65"/>
    </row>
    <row r="13" spans="2:24" x14ac:dyDescent="0.2">
      <c r="B13" s="64"/>
      <c r="I13" s="120"/>
      <c r="K13" s="65"/>
      <c r="M13" s="64"/>
      <c r="O13" s="106"/>
      <c r="P13" s="118" t="s">
        <v>60</v>
      </c>
      <c r="Q13" s="118"/>
      <c r="R13" s="107"/>
      <c r="V13" s="110"/>
      <c r="X13" s="65"/>
    </row>
    <row r="14" spans="2:24" x14ac:dyDescent="0.2">
      <c r="B14" s="64"/>
      <c r="I14" s="121">
        <f>$D$5</f>
        <v>1000</v>
      </c>
      <c r="K14" s="65"/>
      <c r="M14" s="64"/>
      <c r="O14" s="90"/>
      <c r="P14" s="91"/>
      <c r="Q14" s="92"/>
      <c r="R14" s="90"/>
      <c r="V14" s="111">
        <f>$D$5</f>
        <v>1000</v>
      </c>
      <c r="X14" s="65"/>
    </row>
    <row r="15" spans="2:24" x14ac:dyDescent="0.2">
      <c r="B15" s="64"/>
      <c r="E15" s="119">
        <f>$D$6*$D$5</f>
        <v>75</v>
      </c>
      <c r="G15" s="119">
        <f>$D$6*$D$5</f>
        <v>75</v>
      </c>
      <c r="I15" s="122"/>
      <c r="K15" s="65"/>
      <c r="M15" s="64"/>
      <c r="P15" s="116" t="s">
        <v>86</v>
      </c>
      <c r="Q15" s="117" t="s">
        <v>87</v>
      </c>
      <c r="R15" s="109">
        <f>$D$6*$D$5</f>
        <v>75</v>
      </c>
      <c r="T15" s="109">
        <f>$D$6*$D$5</f>
        <v>75</v>
      </c>
      <c r="V15" s="112"/>
      <c r="X15" s="65"/>
    </row>
    <row r="16" spans="2:24" x14ac:dyDescent="0.2">
      <c r="B16" s="64"/>
      <c r="E16" s="120"/>
      <c r="G16" s="120"/>
      <c r="I16" s="123"/>
      <c r="K16" s="65"/>
      <c r="M16" s="64"/>
      <c r="P16" s="116"/>
      <c r="Q16" s="117"/>
      <c r="R16" s="110"/>
      <c r="T16" s="110"/>
      <c r="V16" s="113"/>
      <c r="X16" s="65"/>
    </row>
    <row r="17" spans="2:24" x14ac:dyDescent="0.2">
      <c r="B17" s="64"/>
      <c r="K17" s="65"/>
      <c r="M17" s="64"/>
      <c r="P17" s="86"/>
      <c r="Q17" s="87"/>
      <c r="X17" s="65"/>
    </row>
    <row r="18" spans="2:24" x14ac:dyDescent="0.2">
      <c r="B18" s="64"/>
      <c r="C18" s="100" t="s">
        <v>103</v>
      </c>
      <c r="D18" s="83"/>
      <c r="E18" s="83">
        <v>1</v>
      </c>
      <c r="F18" s="83"/>
      <c r="G18" s="83">
        <v>2</v>
      </c>
      <c r="H18" s="83"/>
      <c r="I18" s="83">
        <v>3</v>
      </c>
      <c r="J18" s="83"/>
      <c r="K18" s="65"/>
      <c r="M18" s="64"/>
      <c r="N18" s="100" t="s">
        <v>101</v>
      </c>
      <c r="O18" s="100"/>
      <c r="P18" s="97"/>
      <c r="Q18" s="88"/>
      <c r="R18" s="83">
        <v>0</v>
      </c>
      <c r="S18" s="83"/>
      <c r="T18" s="83">
        <v>1</v>
      </c>
      <c r="U18" s="83"/>
      <c r="V18" s="83">
        <v>2</v>
      </c>
      <c r="W18" s="83"/>
      <c r="X18" s="65"/>
    </row>
    <row r="19" spans="2:24" x14ac:dyDescent="0.2">
      <c r="B19" s="64"/>
      <c r="C19" s="85"/>
      <c r="E19" s="85"/>
      <c r="F19" s="85"/>
      <c r="G19" s="85"/>
      <c r="H19" s="85"/>
      <c r="I19" s="85"/>
      <c r="K19" s="65"/>
      <c r="M19" s="64"/>
      <c r="N19" s="85"/>
      <c r="O19" s="85"/>
      <c r="P19" s="114" t="s">
        <v>85</v>
      </c>
      <c r="Q19" s="115"/>
      <c r="T19" s="85"/>
      <c r="U19" s="85"/>
      <c r="V19" s="85"/>
      <c r="X19" s="65"/>
    </row>
    <row r="20" spans="2:24" x14ac:dyDescent="0.2">
      <c r="B20" s="64"/>
      <c r="K20" s="65"/>
      <c r="M20" s="64"/>
      <c r="X20" s="65"/>
    </row>
    <row r="21" spans="2:24" x14ac:dyDescent="0.2">
      <c r="B21" s="64"/>
      <c r="C21" t="s">
        <v>73</v>
      </c>
      <c r="E21" s="77">
        <f>1/(1+$D$7)^E18</f>
        <v>0.92592592592592582</v>
      </c>
      <c r="G21" s="77">
        <f>1/(1+$D$7)^G18</f>
        <v>0.85733882030178321</v>
      </c>
      <c r="I21" s="77">
        <f>1/(1+$D$7)^I18</f>
        <v>0.79383224102016958</v>
      </c>
      <c r="K21" s="65"/>
      <c r="M21" s="64"/>
      <c r="O21" t="s">
        <v>73</v>
      </c>
      <c r="R21" s="77">
        <f>1/(1+$D$7)^($T$25+R18)</f>
        <v>0.97979730742248017</v>
      </c>
      <c r="T21" s="77">
        <f>1/(1+$D$7)^($T$25+T18)</f>
        <v>0.90721972909488902</v>
      </c>
      <c r="V21" s="77">
        <f>1/(1+$D$7)^($T$25+V18)</f>
        <v>0.84001826768045262</v>
      </c>
      <c r="X21" s="65"/>
    </row>
    <row r="22" spans="2:24" x14ac:dyDescent="0.2">
      <c r="B22" s="64"/>
      <c r="C22" t="s">
        <v>74</v>
      </c>
      <c r="E22" s="75">
        <f>E15*E21</f>
        <v>69.444444444444443</v>
      </c>
      <c r="G22" s="75">
        <f>G15*G21</f>
        <v>64.300411522633738</v>
      </c>
      <c r="I22" s="75">
        <f>(I12+I14)*I21</f>
        <v>853.36965909668231</v>
      </c>
      <c r="K22" s="65"/>
      <c r="M22" s="64"/>
      <c r="O22" t="s">
        <v>74</v>
      </c>
      <c r="R22" s="75">
        <f>R15*R21</f>
        <v>73.484798056686017</v>
      </c>
      <c r="T22" s="75">
        <f>T15*T21</f>
        <v>68.041479682116673</v>
      </c>
      <c r="V22" s="75">
        <f>(V12+V14)*V21</f>
        <v>903.01963775648653</v>
      </c>
      <c r="X22" s="65"/>
    </row>
    <row r="23" spans="2:24" x14ac:dyDescent="0.2">
      <c r="B23" s="64"/>
      <c r="K23" s="65"/>
      <c r="M23" s="64"/>
      <c r="X23" s="65"/>
    </row>
    <row r="24" spans="2:24" x14ac:dyDescent="0.2">
      <c r="B24" s="64"/>
      <c r="C24" t="s">
        <v>75</v>
      </c>
      <c r="E24" s="75">
        <f>E22+G22+I22</f>
        <v>987.11451506376056</v>
      </c>
      <c r="K24" s="65"/>
      <c r="M24" s="64"/>
      <c r="O24" t="s">
        <v>75</v>
      </c>
      <c r="Q24" s="75">
        <f>R22+T22+V22</f>
        <v>1044.5459154952891</v>
      </c>
      <c r="T24" t="s">
        <v>95</v>
      </c>
      <c r="X24" s="65"/>
    </row>
    <row r="25" spans="2:24" x14ac:dyDescent="0.2">
      <c r="B25" s="64"/>
      <c r="C25" t="s">
        <v>104</v>
      </c>
      <c r="E25" s="93">
        <f>E24/$D$5</f>
        <v>0.98711451506376058</v>
      </c>
      <c r="K25" s="65"/>
      <c r="M25" s="64"/>
      <c r="O25" t="s">
        <v>104</v>
      </c>
      <c r="Q25" s="93">
        <f>Q24/$D$5</f>
        <v>1.0445459154952892</v>
      </c>
      <c r="T25" s="77">
        <f>48/181</f>
        <v>0.26519337016574585</v>
      </c>
      <c r="X25" s="65"/>
    </row>
    <row r="26" spans="2:24" x14ac:dyDescent="0.2">
      <c r="B26" s="66"/>
      <c r="C26" s="67"/>
      <c r="D26" s="67"/>
      <c r="E26" s="67"/>
      <c r="F26" s="67"/>
      <c r="G26" s="67"/>
      <c r="H26" s="67"/>
      <c r="I26" s="67"/>
      <c r="J26" s="67"/>
      <c r="K26" s="68"/>
      <c r="M26" s="66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8"/>
    </row>
    <row r="28" spans="2:24" x14ac:dyDescent="0.2">
      <c r="B28" s="1" t="s">
        <v>78</v>
      </c>
      <c r="G28" s="1"/>
      <c r="M28" s="1" t="s">
        <v>78</v>
      </c>
      <c r="N28" s="1"/>
      <c r="R28" s="1" t="s">
        <v>99</v>
      </c>
      <c r="U28" s="98" t="s">
        <v>4</v>
      </c>
    </row>
    <row r="29" spans="2:24" x14ac:dyDescent="0.2">
      <c r="R29" s="108" t="s">
        <v>9</v>
      </c>
      <c r="S29" s="108"/>
      <c r="T29" s="84">
        <f>Q25</f>
        <v>1.0445459154952892</v>
      </c>
      <c r="U29" s="99">
        <f t="shared" ref="U29:U31" si="0">T29*$D$5</f>
        <v>1044.5459154952891</v>
      </c>
      <c r="W29" s="59" t="s">
        <v>97</v>
      </c>
    </row>
    <row r="30" spans="2:24" x14ac:dyDescent="0.2">
      <c r="R30" s="108" t="s">
        <v>94</v>
      </c>
      <c r="S30" s="108"/>
      <c r="T30" s="84">
        <f>($R$15*$W$30)/$D$5</f>
        <v>5.5110497237569063E-2</v>
      </c>
      <c r="U30" s="99">
        <f t="shared" si="0"/>
        <v>55.110497237569064</v>
      </c>
      <c r="W30" s="77">
        <f>1-T25</f>
        <v>0.73480662983425415</v>
      </c>
    </row>
    <row r="31" spans="2:24" x14ac:dyDescent="0.2">
      <c r="R31" s="108" t="s">
        <v>1</v>
      </c>
      <c r="S31" s="108"/>
      <c r="T31" s="84">
        <f>T29-T30</f>
        <v>0.98943541825772008</v>
      </c>
      <c r="U31" s="99">
        <f t="shared" si="0"/>
        <v>989.43541825772013</v>
      </c>
    </row>
    <row r="33" spans="2:24" x14ac:dyDescent="0.2">
      <c r="B33" s="61"/>
      <c r="C33" s="62"/>
      <c r="D33" s="62"/>
      <c r="E33" s="62"/>
      <c r="F33" s="62"/>
      <c r="G33" s="62"/>
      <c r="H33" s="62"/>
      <c r="I33" s="62"/>
      <c r="J33" s="62"/>
      <c r="K33" s="63"/>
      <c r="M33" s="61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3"/>
    </row>
    <row r="34" spans="2:24" x14ac:dyDescent="0.2">
      <c r="B34" s="64"/>
      <c r="C34" s="1" t="s">
        <v>80</v>
      </c>
      <c r="K34" s="65"/>
      <c r="M34" s="64"/>
      <c r="O34" s="1" t="s">
        <v>90</v>
      </c>
      <c r="X34" s="65"/>
    </row>
    <row r="35" spans="2:24" x14ac:dyDescent="0.2">
      <c r="B35" s="64"/>
      <c r="K35" s="65"/>
      <c r="M35" s="64"/>
      <c r="X35" s="65"/>
    </row>
    <row r="36" spans="2:24" x14ac:dyDescent="0.2">
      <c r="B36" s="64"/>
      <c r="K36" s="65"/>
      <c r="M36" s="64"/>
      <c r="X36" s="65"/>
    </row>
    <row r="37" spans="2:24" x14ac:dyDescent="0.2">
      <c r="B37" s="64"/>
      <c r="K37" s="65"/>
      <c r="M37" s="64"/>
      <c r="X37" s="65"/>
    </row>
    <row r="38" spans="2:24" x14ac:dyDescent="0.2">
      <c r="B38" s="66"/>
      <c r="C38" s="67"/>
      <c r="D38" s="67"/>
      <c r="E38" s="67"/>
      <c r="F38" s="67"/>
      <c r="G38" s="67"/>
      <c r="H38" s="67"/>
      <c r="I38" s="67"/>
      <c r="J38" s="67"/>
      <c r="K38" s="68"/>
      <c r="M38" s="66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8"/>
    </row>
    <row r="40" spans="2:24" x14ac:dyDescent="0.2">
      <c r="B40" t="s">
        <v>77</v>
      </c>
      <c r="C40" t="s">
        <v>81</v>
      </c>
      <c r="M40" t="s">
        <v>77</v>
      </c>
      <c r="O40" t="s">
        <v>83</v>
      </c>
    </row>
    <row r="41" spans="2:24" x14ac:dyDescent="0.2">
      <c r="C41" t="s">
        <v>76</v>
      </c>
      <c r="O41" t="s">
        <v>84</v>
      </c>
    </row>
    <row r="42" spans="2:24" x14ac:dyDescent="0.2">
      <c r="C42" t="s">
        <v>79</v>
      </c>
    </row>
    <row r="43" spans="2:24" x14ac:dyDescent="0.2">
      <c r="C43" t="s">
        <v>82</v>
      </c>
    </row>
  </sheetData>
  <mergeCells count="21">
    <mergeCell ref="E15:E16"/>
    <mergeCell ref="G15:G16"/>
    <mergeCell ref="I12:I13"/>
    <mergeCell ref="I14:I16"/>
    <mergeCell ref="B2:C2"/>
    <mergeCell ref="B3:C3"/>
    <mergeCell ref="B4:C4"/>
    <mergeCell ref="B5:C5"/>
    <mergeCell ref="V12:V13"/>
    <mergeCell ref="V14:V16"/>
    <mergeCell ref="R15:R16"/>
    <mergeCell ref="T15:T16"/>
    <mergeCell ref="P19:Q19"/>
    <mergeCell ref="P15:P16"/>
    <mergeCell ref="Q15:Q16"/>
    <mergeCell ref="P13:Q13"/>
    <mergeCell ref="O12:O13"/>
    <mergeCell ref="R12:R13"/>
    <mergeCell ref="R29:S29"/>
    <mergeCell ref="R30:S30"/>
    <mergeCell ref="R31:S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2E34-25F2-4F7B-8946-D18F95196C2D}">
  <sheetPr codeName="Sheet1"/>
  <dimension ref="B4:AB50"/>
  <sheetViews>
    <sheetView showGridLines="0" tabSelected="1" topLeftCell="M1" zoomScaleNormal="100" workbookViewId="0">
      <selection activeCell="C34" sqref="C34"/>
    </sheetView>
  </sheetViews>
  <sheetFormatPr baseColWidth="10" defaultColWidth="8.83203125" defaultRowHeight="15" x14ac:dyDescent="0.2"/>
  <cols>
    <col min="2" max="2" width="17.33203125" customWidth="1"/>
    <col min="3" max="3" width="12.6640625" customWidth="1"/>
    <col min="5" max="5" width="12" customWidth="1"/>
    <col min="6" max="6" width="11.5" customWidth="1"/>
    <col min="7" max="7" width="12.83203125" customWidth="1"/>
    <col min="8" max="8" width="15" bestFit="1" customWidth="1"/>
    <col min="9" max="9" width="13.6640625" bestFit="1" customWidth="1"/>
    <col min="10" max="10" width="10.6640625" bestFit="1" customWidth="1"/>
    <col min="11" max="11" width="12.1640625" bestFit="1" customWidth="1"/>
    <col min="12" max="13" width="12.1640625" customWidth="1"/>
    <col min="15" max="15" width="11" customWidth="1"/>
    <col min="16" max="18" width="10.6640625" customWidth="1"/>
    <col min="19" max="19" width="12.33203125" customWidth="1"/>
    <col min="20" max="26" width="10.6640625" customWidth="1"/>
  </cols>
  <sheetData>
    <row r="4" spans="2:28" ht="16" thickBot="1" x14ac:dyDescent="0.25">
      <c r="B4" s="1" t="s">
        <v>13</v>
      </c>
      <c r="E4" s="1" t="s">
        <v>15</v>
      </c>
      <c r="F4" s="1"/>
      <c r="G4" s="1"/>
      <c r="H4" s="1"/>
      <c r="L4" s="1"/>
      <c r="O4" s="1" t="s">
        <v>58</v>
      </c>
      <c r="AB4" s="1"/>
    </row>
    <row r="5" spans="2:28" ht="16" thickTop="1" x14ac:dyDescent="0.2">
      <c r="B5" s="35" t="s">
        <v>60</v>
      </c>
      <c r="C5" s="43">
        <v>42531</v>
      </c>
      <c r="E5" s="21" t="s">
        <v>2</v>
      </c>
      <c r="F5" s="22" t="s">
        <v>17</v>
      </c>
      <c r="G5" s="22" t="s">
        <v>18</v>
      </c>
      <c r="H5" s="22" t="s">
        <v>19</v>
      </c>
      <c r="I5" s="22" t="s">
        <v>2</v>
      </c>
      <c r="J5" s="23" t="s">
        <v>6</v>
      </c>
      <c r="K5" s="22" t="s">
        <v>4</v>
      </c>
      <c r="L5" s="49" t="s">
        <v>25</v>
      </c>
      <c r="M5" s="50" t="s">
        <v>26</v>
      </c>
    </row>
    <row r="6" spans="2:28" x14ac:dyDescent="0.2">
      <c r="B6" s="36" t="s">
        <v>67</v>
      </c>
      <c r="C6" s="44">
        <v>1000</v>
      </c>
      <c r="E6" s="24">
        <v>1</v>
      </c>
      <c r="F6" s="25">
        <v>42415</v>
      </c>
      <c r="G6" s="25">
        <v>42597</v>
      </c>
      <c r="H6" s="26">
        <f>G6-F6</f>
        <v>182</v>
      </c>
      <c r="I6" s="27">
        <f t="shared" ref="I6:I24" si="0">$C$6*$C$9/$C$10</f>
        <v>30</v>
      </c>
      <c r="J6" s="28">
        <f t="shared" ref="J6:J25" si="1">1/(1+$C$24/$C$10)^($C$18+$E6-1)</f>
        <v>0.99707041764415294</v>
      </c>
      <c r="K6" s="47">
        <f t="shared" ref="K6:M25" si="2">$I6*J6</f>
        <v>29.912112529324588</v>
      </c>
      <c r="L6" s="51">
        <f t="shared" ref="L6:L25" si="3">1/(1+($C$24+$C$25)/$C$10)^($C$18+$E6-1)</f>
        <v>0.99708835132522156</v>
      </c>
      <c r="M6" s="52">
        <f t="shared" si="2"/>
        <v>29.912650539756648</v>
      </c>
    </row>
    <row r="7" spans="2:28" x14ac:dyDescent="0.2">
      <c r="B7" s="36" t="s">
        <v>0</v>
      </c>
      <c r="C7" s="45">
        <v>1</v>
      </c>
      <c r="E7" s="24">
        <f t="shared" ref="E7:E23" si="4">E6+1</f>
        <v>2</v>
      </c>
      <c r="F7" s="25">
        <f>G6</f>
        <v>42597</v>
      </c>
      <c r="G7" s="25">
        <v>42781</v>
      </c>
      <c r="H7" s="26">
        <f t="shared" ref="H7:H25" si="5">G7-F7</f>
        <v>184</v>
      </c>
      <c r="I7" s="27">
        <f t="shared" si="0"/>
        <v>30</v>
      </c>
      <c r="J7" s="28">
        <f t="shared" si="1"/>
        <v>0.98903626091509689</v>
      </c>
      <c r="K7" s="47">
        <f t="shared" si="2"/>
        <v>29.671087827452908</v>
      </c>
      <c r="L7" s="51">
        <f t="shared" si="3"/>
        <v>0.98910310674825641</v>
      </c>
      <c r="M7" s="52">
        <f t="shared" si="2"/>
        <v>29.673093202447692</v>
      </c>
    </row>
    <row r="8" spans="2:28" ht="17" x14ac:dyDescent="0.2">
      <c r="B8" s="36" t="s">
        <v>57</v>
      </c>
      <c r="C8" s="45">
        <v>1.3904687499999999</v>
      </c>
      <c r="E8" s="24">
        <f t="shared" si="4"/>
        <v>3</v>
      </c>
      <c r="F8" s="25">
        <f t="shared" ref="F8:F25" si="6">G7</f>
        <v>42781</v>
      </c>
      <c r="G8" s="25">
        <v>42962</v>
      </c>
      <c r="H8" s="26">
        <f t="shared" si="5"/>
        <v>181</v>
      </c>
      <c r="I8" s="27">
        <f t="shared" si="0"/>
        <v>30</v>
      </c>
      <c r="J8" s="28">
        <f t="shared" si="1"/>
        <v>0.98106684151372059</v>
      </c>
      <c r="K8" s="47">
        <f t="shared" si="2"/>
        <v>29.432005245411617</v>
      </c>
      <c r="L8" s="51">
        <f t="shared" si="3"/>
        <v>0.98118181250314429</v>
      </c>
      <c r="M8" s="52">
        <f t="shared" si="2"/>
        <v>29.435454375094327</v>
      </c>
    </row>
    <row r="9" spans="2:28" x14ac:dyDescent="0.2">
      <c r="B9" s="36" t="s">
        <v>2</v>
      </c>
      <c r="C9" s="45">
        <v>0.06</v>
      </c>
      <c r="E9" s="24">
        <f t="shared" si="4"/>
        <v>4</v>
      </c>
      <c r="F9" s="25">
        <f t="shared" si="6"/>
        <v>42962</v>
      </c>
      <c r="G9" s="25">
        <v>43146</v>
      </c>
      <c r="H9" s="26">
        <f t="shared" si="5"/>
        <v>184</v>
      </c>
      <c r="I9" s="27">
        <f t="shared" si="0"/>
        <v>30</v>
      </c>
      <c r="J9" s="28">
        <f t="shared" si="1"/>
        <v>0.97316163780200604</v>
      </c>
      <c r="K9" s="47">
        <f t="shared" si="2"/>
        <v>29.194849134060181</v>
      </c>
      <c r="L9" s="51">
        <f t="shared" si="3"/>
        <v>0.97332395643964298</v>
      </c>
      <c r="M9" s="52">
        <f t="shared" si="2"/>
        <v>29.19971869318929</v>
      </c>
    </row>
    <row r="10" spans="2:28" x14ac:dyDescent="0.2">
      <c r="B10" s="36" t="s">
        <v>7</v>
      </c>
      <c r="C10" s="44">
        <v>2</v>
      </c>
      <c r="E10" s="24">
        <f t="shared" si="4"/>
        <v>5</v>
      </c>
      <c r="F10" s="25">
        <f t="shared" si="6"/>
        <v>43146</v>
      </c>
      <c r="G10" s="25">
        <v>43327</v>
      </c>
      <c r="H10" s="26">
        <f t="shared" si="5"/>
        <v>181</v>
      </c>
      <c r="I10" s="27">
        <f t="shared" si="0"/>
        <v>30</v>
      </c>
      <c r="J10" s="28">
        <f t="shared" si="1"/>
        <v>0.96532013234517011</v>
      </c>
      <c r="K10" s="47">
        <f t="shared" si="2"/>
        <v>28.959603970355104</v>
      </c>
      <c r="L10" s="51">
        <f t="shared" si="3"/>
        <v>0.96552903050909755</v>
      </c>
      <c r="M10" s="52">
        <f t="shared" si="2"/>
        <v>28.965870915272927</v>
      </c>
    </row>
    <row r="11" spans="2:28" x14ac:dyDescent="0.2">
      <c r="B11" s="37" t="s">
        <v>3</v>
      </c>
      <c r="C11" s="73">
        <v>46068</v>
      </c>
      <c r="D11" s="74">
        <f>(C11-C5)/365</f>
        <v>9.6904109589041099</v>
      </c>
      <c r="E11" s="24">
        <f t="shared" si="4"/>
        <v>6</v>
      </c>
      <c r="F11" s="25">
        <f t="shared" si="6"/>
        <v>43327</v>
      </c>
      <c r="G11" s="25">
        <v>43511</v>
      </c>
      <c r="H11" s="26">
        <f t="shared" si="5"/>
        <v>184</v>
      </c>
      <c r="I11" s="27">
        <f t="shared" si="0"/>
        <v>30</v>
      </c>
      <c r="J11" s="28">
        <f t="shared" si="1"/>
        <v>0.95754181187779652</v>
      </c>
      <c r="K11" s="47">
        <f t="shared" si="2"/>
        <v>28.726254356333897</v>
      </c>
      <c r="L11" s="51">
        <f t="shared" si="3"/>
        <v>0.95779653073159254</v>
      </c>
      <c r="M11" s="52">
        <f t="shared" si="2"/>
        <v>28.733895921947777</v>
      </c>
    </row>
    <row r="12" spans="2:28" x14ac:dyDescent="0.2">
      <c r="E12" s="24">
        <f t="shared" si="4"/>
        <v>7</v>
      </c>
      <c r="F12" s="25">
        <f t="shared" si="6"/>
        <v>43511</v>
      </c>
      <c r="G12" s="25">
        <v>43692</v>
      </c>
      <c r="H12" s="26">
        <f t="shared" si="5"/>
        <v>181</v>
      </c>
      <c r="I12" s="27">
        <f t="shared" si="0"/>
        <v>30</v>
      </c>
      <c r="J12" s="28">
        <f t="shared" si="1"/>
        <v>0.94982616727023972</v>
      </c>
      <c r="K12" s="47">
        <f t="shared" si="2"/>
        <v>28.494785018107191</v>
      </c>
      <c r="L12" s="51">
        <f t="shared" si="3"/>
        <v>0.95012595716336745</v>
      </c>
      <c r="M12" s="52">
        <f t="shared" si="2"/>
        <v>28.503778714901024</v>
      </c>
    </row>
    <row r="13" spans="2:28" x14ac:dyDescent="0.2">
      <c r="B13" s="1" t="s">
        <v>100</v>
      </c>
      <c r="E13" s="24">
        <f t="shared" si="4"/>
        <v>8</v>
      </c>
      <c r="F13" s="25">
        <f t="shared" si="6"/>
        <v>43692</v>
      </c>
      <c r="G13" s="25">
        <v>43876</v>
      </c>
      <c r="H13" s="26">
        <f t="shared" si="5"/>
        <v>184</v>
      </c>
      <c r="I13" s="27">
        <f t="shared" si="0"/>
        <v>30</v>
      </c>
      <c r="J13" s="28">
        <f t="shared" si="1"/>
        <v>0.94217269349529997</v>
      </c>
      <c r="K13" s="47">
        <f t="shared" si="2"/>
        <v>28.265180804859</v>
      </c>
      <c r="L13" s="51">
        <f t="shared" si="3"/>
        <v>0.9425168138644926</v>
      </c>
      <c r="M13" s="52">
        <f t="shared" si="2"/>
        <v>28.275504415934776</v>
      </c>
    </row>
    <row r="14" spans="2:28" x14ac:dyDescent="0.2">
      <c r="B14" s="35" t="s">
        <v>11</v>
      </c>
      <c r="C14" s="38">
        <f>C5-F6</f>
        <v>116</v>
      </c>
      <c r="E14" s="24">
        <f t="shared" si="4"/>
        <v>9</v>
      </c>
      <c r="F14" s="25">
        <f t="shared" si="6"/>
        <v>43876</v>
      </c>
      <c r="G14" s="25">
        <v>44058</v>
      </c>
      <c r="H14" s="26">
        <f t="shared" si="5"/>
        <v>182</v>
      </c>
      <c r="I14" s="27">
        <f t="shared" si="0"/>
        <v>30</v>
      </c>
      <c r="J14" s="28">
        <f t="shared" si="1"/>
        <v>0.93458088959516672</v>
      </c>
      <c r="K14" s="47">
        <f t="shared" si="2"/>
        <v>28.037426687855003</v>
      </c>
      <c r="L14" s="51">
        <f t="shared" si="3"/>
        <v>0.93496860886680422</v>
      </c>
      <c r="M14" s="52">
        <f t="shared" si="2"/>
        <v>28.049058266004128</v>
      </c>
    </row>
    <row r="15" spans="2:28" x14ac:dyDescent="0.2">
      <c r="B15" s="36" t="s">
        <v>12</v>
      </c>
      <c r="C15" s="39">
        <f>C16-C14</f>
        <v>66</v>
      </c>
      <c r="E15" s="24">
        <f t="shared" si="4"/>
        <v>10</v>
      </c>
      <c r="F15" s="25">
        <f t="shared" si="6"/>
        <v>44058</v>
      </c>
      <c r="G15" s="25">
        <v>44242</v>
      </c>
      <c r="H15" s="26">
        <f t="shared" si="5"/>
        <v>184</v>
      </c>
      <c r="I15" s="27">
        <f t="shared" si="0"/>
        <v>30</v>
      </c>
      <c r="J15" s="28">
        <f t="shared" si="1"/>
        <v>0.92705025864862911</v>
      </c>
      <c r="K15" s="47">
        <f t="shared" si="2"/>
        <v>27.811507759458873</v>
      </c>
      <c r="L15" s="51">
        <f t="shared" si="3"/>
        <v>0.9274808541420968</v>
      </c>
      <c r="M15" s="52">
        <f t="shared" si="2"/>
        <v>27.824425624262904</v>
      </c>
    </row>
    <row r="16" spans="2:28" x14ac:dyDescent="0.2">
      <c r="B16" s="36" t="s">
        <v>8</v>
      </c>
      <c r="C16" s="40">
        <f>$H$6</f>
        <v>182</v>
      </c>
      <c r="E16" s="24">
        <f t="shared" si="4"/>
        <v>11</v>
      </c>
      <c r="F16" s="25">
        <f t="shared" si="6"/>
        <v>44242</v>
      </c>
      <c r="G16" s="25">
        <v>44423</v>
      </c>
      <c r="H16" s="26">
        <f t="shared" si="5"/>
        <v>181</v>
      </c>
      <c r="I16" s="27">
        <f t="shared" si="0"/>
        <v>30</v>
      </c>
      <c r="J16" s="28">
        <f t="shared" si="1"/>
        <v>0.91958030773854882</v>
      </c>
      <c r="K16" s="47">
        <f t="shared" si="2"/>
        <v>27.587409232156464</v>
      </c>
      <c r="L16" s="51">
        <f t="shared" si="3"/>
        <v>0.92005306557056887</v>
      </c>
      <c r="M16" s="52">
        <f t="shared" si="2"/>
        <v>27.601591967117066</v>
      </c>
    </row>
    <row r="17" spans="2:28" x14ac:dyDescent="0.2">
      <c r="B17" s="36" t="s">
        <v>98</v>
      </c>
      <c r="C17" s="41">
        <f>C14/C16</f>
        <v>0.63736263736263732</v>
      </c>
      <c r="E17" s="24">
        <f t="shared" si="4"/>
        <v>12</v>
      </c>
      <c r="F17" s="25">
        <f t="shared" si="6"/>
        <v>44423</v>
      </c>
      <c r="G17" s="25">
        <v>44607</v>
      </c>
      <c r="H17" s="26">
        <f t="shared" si="5"/>
        <v>184</v>
      </c>
      <c r="I17" s="27">
        <f t="shared" si="0"/>
        <v>30</v>
      </c>
      <c r="J17" s="28">
        <f t="shared" si="1"/>
        <v>0.91217054791959695</v>
      </c>
      <c r="K17" s="47">
        <f t="shared" si="2"/>
        <v>27.365116437587908</v>
      </c>
      <c r="L17" s="51">
        <f t="shared" si="3"/>
        <v>0.91268476290952305</v>
      </c>
      <c r="M17" s="52">
        <f t="shared" si="2"/>
        <v>27.380542887285692</v>
      </c>
    </row>
    <row r="18" spans="2:28" x14ac:dyDescent="0.2">
      <c r="B18" s="37" t="s">
        <v>59</v>
      </c>
      <c r="C18" s="42">
        <f>C15/C16</f>
        <v>0.36263736263736263</v>
      </c>
      <c r="E18" s="24">
        <f t="shared" si="4"/>
        <v>13</v>
      </c>
      <c r="F18" s="25">
        <f t="shared" si="6"/>
        <v>44607</v>
      </c>
      <c r="G18" s="25">
        <v>44788</v>
      </c>
      <c r="H18" s="26">
        <f t="shared" si="5"/>
        <v>181</v>
      </c>
      <c r="I18" s="27">
        <f t="shared" si="0"/>
        <v>30</v>
      </c>
      <c r="J18" s="28">
        <f t="shared" si="1"/>
        <v>0.9048204941862501</v>
      </c>
      <c r="K18" s="47">
        <f t="shared" si="2"/>
        <v>27.144614825587503</v>
      </c>
      <c r="L18" s="51">
        <f t="shared" si="3"/>
        <v>0.90537546976231553</v>
      </c>
      <c r="M18" s="52">
        <f t="shared" si="2"/>
        <v>27.161264092869466</v>
      </c>
    </row>
    <row r="19" spans="2:28" x14ac:dyDescent="0.2">
      <c r="E19" s="24">
        <f t="shared" si="4"/>
        <v>14</v>
      </c>
      <c r="F19" s="25">
        <f t="shared" si="6"/>
        <v>44788</v>
      </c>
      <c r="G19" s="29">
        <v>44972</v>
      </c>
      <c r="H19" s="26">
        <f t="shared" si="5"/>
        <v>184</v>
      </c>
      <c r="I19" s="27">
        <f t="shared" si="0"/>
        <v>30</v>
      </c>
      <c r="J19" s="28">
        <f t="shared" si="1"/>
        <v>0.89752966544104429</v>
      </c>
      <c r="K19" s="47">
        <f t="shared" si="2"/>
        <v>26.925889963231327</v>
      </c>
      <c r="L19" s="51">
        <f t="shared" si="3"/>
        <v>0.89812471354755496</v>
      </c>
      <c r="M19" s="52">
        <f t="shared" si="2"/>
        <v>26.94374140642665</v>
      </c>
    </row>
    <row r="20" spans="2:28" x14ac:dyDescent="0.2">
      <c r="E20" s="24">
        <f t="shared" si="4"/>
        <v>15</v>
      </c>
      <c r="F20" s="25">
        <f t="shared" si="6"/>
        <v>44972</v>
      </c>
      <c r="G20" s="25">
        <v>45153</v>
      </c>
      <c r="H20" s="26">
        <f>G20-F20</f>
        <v>181</v>
      </c>
      <c r="I20" s="27">
        <f t="shared" si="0"/>
        <v>30</v>
      </c>
      <c r="J20" s="28">
        <f t="shared" si="1"/>
        <v>0.89029758446308449</v>
      </c>
      <c r="K20" s="47">
        <f t="shared" si="2"/>
        <v>26.708927533892535</v>
      </c>
      <c r="L20" s="51">
        <f t="shared" si="3"/>
        <v>0.89093202546854777</v>
      </c>
      <c r="M20" s="52">
        <f t="shared" si="2"/>
        <v>26.727960764056434</v>
      </c>
    </row>
    <row r="21" spans="2:28" x14ac:dyDescent="0.2">
      <c r="E21" s="24">
        <f t="shared" si="4"/>
        <v>16</v>
      </c>
      <c r="F21" s="25">
        <f t="shared" si="6"/>
        <v>45153</v>
      </c>
      <c r="G21" s="25">
        <v>45337</v>
      </c>
      <c r="H21" s="26">
        <f t="shared" si="5"/>
        <v>184</v>
      </c>
      <c r="I21" s="27">
        <f t="shared" si="0"/>
        <v>30</v>
      </c>
      <c r="J21" s="28">
        <f t="shared" si="1"/>
        <v>0.88312377787680862</v>
      </c>
      <c r="K21" s="47">
        <f t="shared" si="2"/>
        <v>26.493713336304261</v>
      </c>
      <c r="L21" s="51">
        <f t="shared" si="3"/>
        <v>0.88379694048298796</v>
      </c>
      <c r="M21" s="52">
        <f t="shared" si="2"/>
        <v>26.513908214489639</v>
      </c>
    </row>
    <row r="22" spans="2:28" x14ac:dyDescent="0.2">
      <c r="B22" s="1" t="s">
        <v>14</v>
      </c>
      <c r="E22" s="24">
        <f t="shared" si="4"/>
        <v>17</v>
      </c>
      <c r="F22" s="25">
        <f t="shared" si="6"/>
        <v>45337</v>
      </c>
      <c r="G22" s="25">
        <v>45519</v>
      </c>
      <c r="H22" s="26">
        <f t="shared" si="5"/>
        <v>182</v>
      </c>
      <c r="I22" s="27">
        <f t="shared" si="0"/>
        <v>30</v>
      </c>
      <c r="J22" s="28">
        <f t="shared" si="1"/>
        <v>0.87600777612100222</v>
      </c>
      <c r="K22" s="47">
        <f t="shared" si="2"/>
        <v>26.280233283630068</v>
      </c>
      <c r="L22" s="51">
        <f t="shared" si="3"/>
        <v>0.87671899727289004</v>
      </c>
      <c r="M22" s="52">
        <f t="shared" si="2"/>
        <v>26.301569918186701</v>
      </c>
    </row>
    <row r="23" spans="2:28" ht="17" x14ac:dyDescent="0.2">
      <c r="B23" s="35" t="s">
        <v>56</v>
      </c>
      <c r="C23" s="104">
        <f>($C$9+($C$7-$C$8)/$D$11)/(($C$7+$C$8)/2)</f>
        <v>1.6486855372198881E-2</v>
      </c>
      <c r="E23" s="24">
        <f t="shared" si="4"/>
        <v>18</v>
      </c>
      <c r="F23" s="25">
        <f t="shared" si="6"/>
        <v>45519</v>
      </c>
      <c r="G23" s="25">
        <v>45703</v>
      </c>
      <c r="H23" s="26">
        <f t="shared" si="5"/>
        <v>184</v>
      </c>
      <c r="I23" s="27">
        <f t="shared" si="0"/>
        <v>30</v>
      </c>
      <c r="J23" s="28">
        <f t="shared" si="1"/>
        <v>0.86894911341806369</v>
      </c>
      <c r="K23" s="47">
        <f t="shared" si="2"/>
        <v>26.068473402541912</v>
      </c>
      <c r="L23" s="51">
        <f t="shared" si="3"/>
        <v>0.86969773821476259</v>
      </c>
      <c r="M23" s="52">
        <f t="shared" si="2"/>
        <v>26.090932146442878</v>
      </c>
    </row>
    <row r="24" spans="2:28" x14ac:dyDescent="0.2">
      <c r="B24" s="36" t="s">
        <v>105</v>
      </c>
      <c r="C24" s="102">
        <f>Xn</f>
        <v>1.6246435133981087E-2</v>
      </c>
      <c r="E24" s="24">
        <f t="shared" ref="E24" si="7">E23+1</f>
        <v>19</v>
      </c>
      <c r="F24" s="25">
        <f t="shared" si="6"/>
        <v>45703</v>
      </c>
      <c r="G24" s="25">
        <v>45884</v>
      </c>
      <c r="H24" s="26">
        <f t="shared" si="5"/>
        <v>181</v>
      </c>
      <c r="I24" s="27">
        <f t="shared" si="0"/>
        <v>30</v>
      </c>
      <c r="J24" s="28">
        <f t="shared" si="1"/>
        <v>0.86194732774351712</v>
      </c>
      <c r="K24" s="47">
        <f t="shared" si="2"/>
        <v>25.858419832305515</v>
      </c>
      <c r="L24" s="51">
        <f t="shared" si="3"/>
        <v>0.86273270935002055</v>
      </c>
      <c r="M24" s="52">
        <f t="shared" si="2"/>
        <v>25.881981280500618</v>
      </c>
    </row>
    <row r="25" spans="2:28" ht="16" thickBot="1" x14ac:dyDescent="0.25">
      <c r="B25" s="37" t="s">
        <v>24</v>
      </c>
      <c r="C25" s="103">
        <v>-1E-4</v>
      </c>
      <c r="E25" s="30">
        <f t="shared" ref="E25" si="8">E24+1</f>
        <v>20</v>
      </c>
      <c r="F25" s="31">
        <f t="shared" si="6"/>
        <v>45884</v>
      </c>
      <c r="G25" s="31">
        <v>46068</v>
      </c>
      <c r="H25" s="32">
        <f t="shared" si="5"/>
        <v>184</v>
      </c>
      <c r="I25" s="33">
        <f>$C$6*$C$9/$C$10+$C$6</f>
        <v>1030</v>
      </c>
      <c r="J25" s="34">
        <f t="shared" si="1"/>
        <v>0.85500196079576962</v>
      </c>
      <c r="K25" s="48">
        <f t="shared" si="2"/>
        <v>880.65201961964272</v>
      </c>
      <c r="L25" s="53">
        <f t="shared" si="3"/>
        <v>0.85582346035563484</v>
      </c>
      <c r="M25" s="54">
        <f t="shared" si="2"/>
        <v>881.49816416630392</v>
      </c>
    </row>
    <row r="26" spans="2:28" ht="16" thickTop="1" x14ac:dyDescent="0.2"/>
    <row r="28" spans="2:28" ht="17" x14ac:dyDescent="0.2">
      <c r="B28" t="s">
        <v>62</v>
      </c>
      <c r="F28" s="1" t="s">
        <v>46</v>
      </c>
      <c r="I28" s="16" t="s">
        <v>63</v>
      </c>
      <c r="K28" s="2" t="s">
        <v>47</v>
      </c>
      <c r="M28" s="2" t="s">
        <v>48</v>
      </c>
      <c r="O28" s="61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3"/>
      <c r="AB28" s="64"/>
    </row>
    <row r="29" spans="2:28" x14ac:dyDescent="0.2">
      <c r="B29" s="35" t="s">
        <v>5</v>
      </c>
      <c r="C29" s="72">
        <v>1000000</v>
      </c>
      <c r="F29" s="35" t="s">
        <v>1</v>
      </c>
      <c r="G29" s="69">
        <f>G31-G30</f>
        <v>1.3904687516792196</v>
      </c>
      <c r="I29" s="46">
        <f>SUM(I6:I25)</f>
        <v>1600</v>
      </c>
      <c r="K29" s="46">
        <f>SUM(K6:K25)</f>
        <v>1409.5896308000986</v>
      </c>
      <c r="M29" s="46">
        <f>SUM(M6:M25)</f>
        <v>1410.6751075124905</v>
      </c>
      <c r="O29" s="64"/>
      <c r="P29" s="1" t="s">
        <v>23</v>
      </c>
      <c r="S29" s="16" t="s">
        <v>45</v>
      </c>
      <c r="U29" s="16" t="s">
        <v>28</v>
      </c>
      <c r="AA29" s="65"/>
      <c r="AB29" s="64"/>
    </row>
    <row r="30" spans="2:28" x14ac:dyDescent="0.2">
      <c r="B30" s="36" t="s">
        <v>64</v>
      </c>
      <c r="C30" s="79">
        <f>$I$29/$C$6*$C$29</f>
        <v>1600000</v>
      </c>
      <c r="F30" s="36" t="s">
        <v>10</v>
      </c>
      <c r="G30" s="70">
        <f>($C$6*$C$9/2*$C$17)/$C$6</f>
        <v>1.912087912087912E-2</v>
      </c>
      <c r="I30" s="59" t="s">
        <v>68</v>
      </c>
      <c r="K30" s="16" t="s">
        <v>20</v>
      </c>
      <c r="M30" s="16" t="s">
        <v>20</v>
      </c>
      <c r="O30" s="64"/>
      <c r="S30" s="55">
        <v>1409.5896299999999</v>
      </c>
      <c r="U30" s="15">
        <v>1E-8</v>
      </c>
      <c r="AA30" s="65"/>
      <c r="AB30" s="64"/>
    </row>
    <row r="31" spans="2:28" x14ac:dyDescent="0.2">
      <c r="B31" s="36" t="s">
        <v>16</v>
      </c>
      <c r="C31" s="105">
        <f>$C$29*G29</f>
        <v>1390468.7516792195</v>
      </c>
      <c r="F31" s="37" t="s">
        <v>9</v>
      </c>
      <c r="G31" s="71">
        <f>$K$29/$C$6</f>
        <v>1.4095896308000986</v>
      </c>
      <c r="O31" s="64"/>
      <c r="P31" s="57" t="s">
        <v>29</v>
      </c>
      <c r="AA31" s="65"/>
      <c r="AB31" s="64"/>
    </row>
    <row r="32" spans="2:28" ht="18" x14ac:dyDescent="0.2">
      <c r="B32" s="36" t="s">
        <v>10</v>
      </c>
      <c r="C32" s="105">
        <f>$C$29*G30</f>
        <v>19120.879120879119</v>
      </c>
      <c r="F32" s="3"/>
      <c r="M32" s="2" t="s">
        <v>61</v>
      </c>
      <c r="O32" s="64"/>
      <c r="P32" s="7" t="s">
        <v>41</v>
      </c>
      <c r="Q32" s="8" t="s">
        <v>42</v>
      </c>
      <c r="R32" s="9" t="s">
        <v>30</v>
      </c>
      <c r="S32" s="8" t="s">
        <v>43</v>
      </c>
      <c r="T32" s="8" t="s">
        <v>44</v>
      </c>
      <c r="U32" s="10" t="s">
        <v>21</v>
      </c>
      <c r="AA32" s="65"/>
      <c r="AB32" s="64"/>
    </row>
    <row r="33" spans="2:28" x14ac:dyDescent="0.2">
      <c r="B33" s="36" t="s">
        <v>47</v>
      </c>
      <c r="C33" s="105">
        <f>$C$29*G31</f>
        <v>1409589.6308000986</v>
      </c>
      <c r="F33" s="3"/>
      <c r="K33" s="75"/>
      <c r="L33" s="3"/>
      <c r="M33" s="81">
        <f>(M29-K29)</f>
        <v>1.0854767123919373</v>
      </c>
      <c r="O33" s="64"/>
      <c r="P33" s="18">
        <f>Xn-S33/T33</f>
        <v>1.6246435207690511E-2</v>
      </c>
      <c r="Q33" s="11">
        <v>1.6246435133981087E-2</v>
      </c>
      <c r="R33" s="11">
        <f>C23</f>
        <v>1.6486855372198881E-2</v>
      </c>
      <c r="S33" s="12">
        <f>K29-S30</f>
        <v>8.0009863268060144E-7</v>
      </c>
      <c r="T33" s="13">
        <f>($M$29-$K$29)/$C$25</f>
        <v>-10854.767123919373</v>
      </c>
      <c r="U33" s="14">
        <f>ABS(XnPlus1-Xn)</f>
        <v>7.370942398110536E-11</v>
      </c>
      <c r="AA33" s="65"/>
      <c r="AB33" s="64"/>
    </row>
    <row r="34" spans="2:28" ht="17" x14ac:dyDescent="0.2">
      <c r="B34" s="37" t="s">
        <v>66</v>
      </c>
      <c r="C34" s="80">
        <f>$M$33*($C$29/$C$6)</f>
        <v>1085.4767123919373</v>
      </c>
      <c r="F34" s="3"/>
      <c r="M34" s="59" t="s">
        <v>68</v>
      </c>
      <c r="O34" s="64"/>
      <c r="AA34" s="65"/>
      <c r="AB34" s="64"/>
    </row>
    <row r="35" spans="2:28" x14ac:dyDescent="0.2">
      <c r="M35" s="76"/>
      <c r="O35" s="64"/>
      <c r="P35" s="58" t="s">
        <v>22</v>
      </c>
      <c r="Q35" s="59"/>
      <c r="R35" s="59"/>
      <c r="S35" s="59"/>
      <c r="T35" s="59"/>
      <c r="U35" s="60"/>
      <c r="V35" s="59"/>
      <c r="W35" s="59"/>
      <c r="AA35" s="65"/>
      <c r="AB35" s="64"/>
    </row>
    <row r="36" spans="2:28" ht="17" x14ac:dyDescent="0.2">
      <c r="B36" s="1" t="s">
        <v>52</v>
      </c>
      <c r="M36" s="78"/>
      <c r="O36" s="64"/>
      <c r="P36" s="4" t="s">
        <v>30</v>
      </c>
      <c r="Q36" s="5" t="s">
        <v>31</v>
      </c>
      <c r="R36" s="5" t="s">
        <v>32</v>
      </c>
      <c r="S36" s="5" t="s">
        <v>33</v>
      </c>
      <c r="T36" s="5" t="s">
        <v>34</v>
      </c>
      <c r="U36" s="5" t="s">
        <v>35</v>
      </c>
      <c r="V36" s="5" t="s">
        <v>36</v>
      </c>
      <c r="W36" s="5" t="s">
        <v>37</v>
      </c>
      <c r="X36" s="5" t="s">
        <v>38</v>
      </c>
      <c r="Y36" s="5" t="s">
        <v>39</v>
      </c>
      <c r="Z36" s="6" t="s">
        <v>40</v>
      </c>
      <c r="AA36" s="101"/>
      <c r="AB36" s="64"/>
    </row>
    <row r="37" spans="2:28" x14ac:dyDescent="0.2">
      <c r="B37" t="s">
        <v>65</v>
      </c>
      <c r="O37" s="64"/>
      <c r="P37" s="19">
        <v>1.6486855372198881E-2</v>
      </c>
      <c r="Q37" s="17">
        <v>1.62462774995954E-2</v>
      </c>
      <c r="R37" s="17">
        <v>1.6246435133981087E-2</v>
      </c>
      <c r="S37" s="17">
        <v>1.6246435207690511E-2</v>
      </c>
      <c r="T37" s="17"/>
      <c r="U37" s="17"/>
      <c r="V37" s="17"/>
      <c r="W37" s="17"/>
      <c r="X37" s="17"/>
      <c r="Y37" s="17"/>
      <c r="Z37" s="20"/>
      <c r="AA37" s="101"/>
      <c r="AB37" s="64"/>
    </row>
    <row r="38" spans="2:28" x14ac:dyDescent="0.2">
      <c r="B38" t="s">
        <v>53</v>
      </c>
      <c r="O38" s="64"/>
      <c r="AA38" s="65"/>
      <c r="AB38" s="64"/>
    </row>
    <row r="39" spans="2:28" x14ac:dyDescent="0.2">
      <c r="O39" s="64"/>
      <c r="AA39" s="65"/>
      <c r="AB39" s="64"/>
    </row>
    <row r="40" spans="2:28" ht="17" x14ac:dyDescent="0.2">
      <c r="B40" s="1" t="s">
        <v>54</v>
      </c>
      <c r="O40" s="64"/>
      <c r="AA40" s="65"/>
      <c r="AB40" s="64"/>
    </row>
    <row r="41" spans="2:28" x14ac:dyDescent="0.2">
      <c r="B41" t="s">
        <v>49</v>
      </c>
      <c r="O41" s="64"/>
      <c r="AA41" s="65"/>
      <c r="AB41" s="64"/>
    </row>
    <row r="42" spans="2:28" x14ac:dyDescent="0.2">
      <c r="B42" t="s">
        <v>50</v>
      </c>
      <c r="O42" s="64"/>
      <c r="AA42" s="65"/>
      <c r="AB42" s="64"/>
    </row>
    <row r="43" spans="2:28" x14ac:dyDescent="0.2">
      <c r="B43" t="s">
        <v>51</v>
      </c>
      <c r="O43" s="64"/>
      <c r="P43" t="s">
        <v>27</v>
      </c>
      <c r="AA43" s="65"/>
      <c r="AB43" s="64"/>
    </row>
    <row r="44" spans="2:28" x14ac:dyDescent="0.2">
      <c r="O44" s="64"/>
      <c r="P44" s="56" t="b">
        <v>1</v>
      </c>
      <c r="AA44" s="65"/>
      <c r="AB44" s="64"/>
    </row>
    <row r="45" spans="2:28" x14ac:dyDescent="0.2">
      <c r="O45" s="66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8"/>
      <c r="AB45" s="64"/>
    </row>
    <row r="48" spans="2:28" ht="17" x14ac:dyDescent="0.2">
      <c r="B48" s="1" t="s">
        <v>55</v>
      </c>
    </row>
    <row r="50" spans="2:2" ht="17" x14ac:dyDescent="0.2">
      <c r="B50" s="1" t="s">
        <v>102</v>
      </c>
    </row>
  </sheetData>
  <dataValidations disablePrompts="1" count="1">
    <dataValidation type="list" allowBlank="1" showInputMessage="1" showErrorMessage="1" sqref="P44" xr:uid="{EB55EE12-B99E-4C07-BCF7-2C1954CEB18B}">
      <formula1>"TRUE,FALSE"</formula1>
    </dataValidation>
  </dataValidations>
  <pageMargins left="0.7" right="0.7" top="0.75" bottom="0.75" header="0.3" footer="0.3"/>
  <pageSetup orientation="portrait" r:id="rId1"/>
  <ignoredErrors>
    <ignoredError sqref="L6:L2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4" name="Button 71">
              <controlPr defaultSize="0" print="0" autoFill="0" autoPict="0" macro="[0]!RunSolver">
                <anchor moveWithCells="1" sizeWithCells="1">
                  <from>
                    <xdr:col>15</xdr:col>
                    <xdr:colOff>12700</xdr:colOff>
                    <xdr:row>38</xdr:row>
                    <xdr:rowOff>0</xdr:rowOff>
                  </from>
                  <to>
                    <xdr:col>17</xdr:col>
                    <xdr:colOff>0</xdr:colOff>
                    <xdr:row>41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Formulae</vt:lpstr>
      <vt:lpstr>Bond Price</vt:lpstr>
      <vt:lpstr>Epsilon</vt:lpstr>
      <vt:lpstr>IterationCount</vt:lpstr>
      <vt:lpstr>IterationResults</vt:lpstr>
      <vt:lpstr>IterationResults1</vt:lpstr>
      <vt:lpstr>ShowIterations</vt:lpstr>
      <vt:lpstr>Tolerance</vt:lpstr>
      <vt:lpstr>X0</vt:lpstr>
      <vt:lpstr>Xn</vt:lpstr>
      <vt:lpstr>XnPlus1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Mark Hallett</cp:lastModifiedBy>
  <dcterms:created xsi:type="dcterms:W3CDTF">2022-09-26T16:46:39Z</dcterms:created>
  <dcterms:modified xsi:type="dcterms:W3CDTF">2022-10-06T17:02:39Z</dcterms:modified>
</cp:coreProperties>
</file>